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7 -HOGDB - UPDATED\"/>
    </mc:Choice>
  </mc:AlternateContent>
  <xr:revisionPtr revIDLastSave="0" documentId="13_ncr:1_{EAC704E1-122C-4A6A-8214-4FDB5493394E}" xr6:coauthVersionLast="47" xr6:coauthVersionMax="47" xr10:uidLastSave="{00000000-0000-0000-0000-000000000000}"/>
  <bookViews>
    <workbookView xWindow="12" yWindow="732" windowWidth="23028" windowHeight="1366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L3" i="1"/>
  <c r="L4" i="1"/>
  <c r="L5" i="1"/>
  <c r="O5" i="1" s="1"/>
  <c r="L6" i="1"/>
  <c r="O6" i="1" s="1"/>
  <c r="L7" i="1"/>
  <c r="L8" i="1"/>
  <c r="O8" i="1" s="1"/>
  <c r="L9" i="1"/>
  <c r="L2" i="1"/>
  <c r="I3" i="1"/>
  <c r="I4" i="1"/>
  <c r="O4" i="1" s="1"/>
  <c r="I5" i="1"/>
  <c r="I6" i="1"/>
  <c r="I7" i="1"/>
  <c r="O7" i="1" s="1"/>
  <c r="I8" i="1"/>
  <c r="I9" i="1"/>
  <c r="O9" i="1" s="1"/>
  <c r="I2" i="1"/>
  <c r="O2" i="1" s="1"/>
</calcChain>
</file>

<file path=xl/sharedStrings.xml><?xml version="1.0" encoding="utf-8"?>
<sst xmlns="http://schemas.openxmlformats.org/spreadsheetml/2006/main" count="54" uniqueCount="40">
  <si>
    <t>#reified nodes</t>
  </si>
  <si>
    <t>200K</t>
  </si>
  <si>
    <t>300K</t>
  </si>
  <si>
    <t>400K</t>
  </si>
  <si>
    <t>500K</t>
  </si>
  <si>
    <t>600K</t>
  </si>
  <si>
    <t>700K</t>
  </si>
  <si>
    <t>741K</t>
  </si>
  <si>
    <t>#elt_add_edge_label</t>
  </si>
  <si>
    <t>#elt_add_edge</t>
  </si>
  <si>
    <t>#elt_add_edge_prop</t>
  </si>
  <si>
    <t>#elt_add_node</t>
  </si>
  <si>
    <t>#elt_add_node_label</t>
  </si>
  <si>
    <t>#elt_add_node_prop</t>
  </si>
  <si>
    <t>Total_elt_RPG</t>
  </si>
  <si>
    <t>Total_elt_HOGDB</t>
  </si>
  <si>
    <t xml:space="preserve">100K </t>
  </si>
  <si>
    <t>Add_node</t>
  </si>
  <si>
    <t>Add_node_prop</t>
  </si>
  <si>
    <t>Add_node_label</t>
  </si>
  <si>
    <t>Add_edge</t>
  </si>
  <si>
    <t>Add_edge_label</t>
  </si>
  <si>
    <t>Add_edge_prop</t>
  </si>
  <si>
    <t>#added_elt_in_RPG</t>
  </si>
  <si>
    <t>#added_elt_in_HOGDB</t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</si>
  <si>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n_composed_of_node</t>
    </r>
  </si>
  <si>
    <r>
      <rPr>
        <b/>
        <sz val="11"/>
        <color theme="1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= n_composed_of_node_label</t>
    </r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</si>
  <si>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n_composed_of_node_prop</t>
    </r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</si>
  <si>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n_composed_of_edge</t>
    </r>
  </si>
  <si>
    <r>
      <rPr>
        <b/>
        <sz val="11"/>
        <color theme="1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= n_composed_of_edge_label</t>
    </r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</si>
  <si>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n_composed_of_edge_prop</t>
    </r>
  </si>
  <si>
    <r>
      <rPr>
        <b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= 1 edge + 2 labels 
(_edge +_node_membership)</t>
    </r>
  </si>
  <si>
    <r>
      <rPr>
        <b/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Calibri"/>
        <family val="2"/>
        <scheme val="minor"/>
      </rPr>
      <t xml:space="preserve"> = node label </t>
    </r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</si>
  <si>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node prop</t>
    </r>
  </si>
  <si>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= 1node +1 label_node_type+ 
1 label_node+3 edges + 3 label _edge 
+ 2 label _adjacency
+ 1 label _edge_membership</t>
    </r>
  </si>
  <si>
    <r>
      <rPr>
        <b/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Calibri"/>
        <family val="2"/>
        <scheme val="minor"/>
      </rPr>
      <t xml:space="preserve"> = edge label 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</si>
  <si>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= edge prop</t>
    </r>
  </si>
  <si>
    <t>Total of added elements in RPG</t>
  </si>
  <si>
    <t>Total of added elements in HO-GDB</t>
  </si>
  <si>
    <t>A reified node (or subgraph node ) taggedComment is composed of two nodes — comment and tag with its property name — and one edge hasTag.
In the RPG model, adding a reified node only requires creating the reified node itself and inserting the corresponding n_composed_of tuples to specify its components. In total, this involves 7 tuples (2 nodes, 1 edge, 3 labels, and 1 property name).
In HOGDB, adding a subgraph requires more steps. One must create a subgraph node, then add:
two node_membership edges,
an intermediate node labeled hasTag,
one edge_membership edge, and
two additional edges labeled _edge and _adjacency connecting the nodes comment, hasTag, and tag, along with the property name of the tag node.
This results in 5 edges with 10 labels (each edge having two labels: _edge and one of _edge_membership, node_membership, or _adjacency), and 3 nodes (comment, tag, and hasTag) with 6 labels (each node having _node and its type label). The property name is also added to the tag node.
To add the two nodes (comment and tag), we need 2 edges and 4 labels (_edge + node_membership), totaling 6 elements.
To add the edge hasTag, we need 1 node (with labels _node and hasTag), 2 edges (with 4 labels: 2×_adjacency and 2×_edge), and 1 additional edge (with labels _edge and edge_membership), for a total of 12 elements.
Overall, adding a taggedComment subgraph in HOGDB requires 18 elements.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</si>
</sst>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0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0" borderId="3" xfId="0" applyFont="1" applyBorder="1"/>
    <xf numFmtId="0" fontId="0" fillId="0" borderId="3" xfId="0" applyBorder="1"/>
    <xf numFmtId="0" fontId="1" fillId="3" borderId="2" xfId="0" applyFont="1" applyFill="1" applyBorder="1"/>
    <xf numFmtId="0" fontId="0" fillId="3" borderId="2" xfId="0" applyFill="1" applyBorder="1"/>
    <xf numFmtId="0" fontId="0" fillId="0" borderId="1" xfId="0" applyBorder="1" applyAlignment="1">
      <alignment vertical="top"/>
    </xf>
    <xf numFmtId="0" fontId="1" fillId="4" borderId="4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60478273549141"/>
          <c:y val="4.6478581575996096E-2"/>
          <c:w val="0.80694919801691456"/>
          <c:h val="0.67558617672790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Total of added elements in RPG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Sheet1!$A$15:$A$22</c:f>
              <c:strCache>
                <c:ptCount val="7"/>
                <c:pt idx="0">
                  <c:v>100K </c:v>
                </c:pt>
                <c:pt idx="1">
                  <c:v>200K</c:v>
                </c:pt>
                <c:pt idx="2">
                  <c:v>300K</c:v>
                </c:pt>
                <c:pt idx="3">
                  <c:v>400K</c:v>
                </c:pt>
                <c:pt idx="4">
                  <c:v>500K</c:v>
                </c:pt>
                <c:pt idx="5">
                  <c:v>600K</c:v>
                </c:pt>
                <c:pt idx="6">
                  <c:v>700K</c:v>
                </c:pt>
              </c:strCache>
            </c:strRef>
          </c:cat>
          <c:val>
            <c:numRef>
              <c:f>Sheet1!$B$15:$B$22</c:f>
              <c:numCache>
                <c:formatCode>General</c:formatCode>
                <c:ptCount val="8"/>
                <c:pt idx="0">
                  <c:v>700000</c:v>
                </c:pt>
                <c:pt idx="1">
                  <c:v>1400000</c:v>
                </c:pt>
                <c:pt idx="2">
                  <c:v>2200000</c:v>
                </c:pt>
                <c:pt idx="3">
                  <c:v>2800000</c:v>
                </c:pt>
                <c:pt idx="4">
                  <c:v>3500000</c:v>
                </c:pt>
                <c:pt idx="5">
                  <c:v>4200000</c:v>
                </c:pt>
                <c:pt idx="6">
                  <c:v>4900000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2-4B20-8E14-48352EEAC45A}"/>
            </c:ext>
          </c:extLst>
        </c:ser>
        <c:ser>
          <c:idx val="1"/>
          <c:order val="1"/>
          <c:tx>
            <c:strRef>
              <c:f>Sheet1!$C$14</c:f>
              <c:strCache>
                <c:ptCount val="1"/>
                <c:pt idx="0">
                  <c:v>Total of added elements in HO-GDB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Sheet1!$A$15:$A$22</c:f>
              <c:strCache>
                <c:ptCount val="7"/>
                <c:pt idx="0">
                  <c:v>100K </c:v>
                </c:pt>
                <c:pt idx="1">
                  <c:v>200K</c:v>
                </c:pt>
                <c:pt idx="2">
                  <c:v>300K</c:v>
                </c:pt>
                <c:pt idx="3">
                  <c:v>400K</c:v>
                </c:pt>
                <c:pt idx="4">
                  <c:v>500K</c:v>
                </c:pt>
                <c:pt idx="5">
                  <c:v>600K</c:v>
                </c:pt>
                <c:pt idx="6">
                  <c:v>700K</c:v>
                </c:pt>
              </c:strCache>
            </c:strRef>
          </c:cat>
          <c:val>
            <c:numRef>
              <c:f>Sheet1!$C$15:$C$22</c:f>
              <c:numCache>
                <c:formatCode>General</c:formatCode>
                <c:ptCount val="8"/>
                <c:pt idx="0">
                  <c:v>1900000</c:v>
                </c:pt>
                <c:pt idx="1">
                  <c:v>3800000</c:v>
                </c:pt>
                <c:pt idx="2">
                  <c:v>5700000</c:v>
                </c:pt>
                <c:pt idx="3">
                  <c:v>7600000</c:v>
                </c:pt>
                <c:pt idx="4">
                  <c:v>9500000</c:v>
                </c:pt>
                <c:pt idx="5">
                  <c:v>11400000</c:v>
                </c:pt>
                <c:pt idx="6">
                  <c:v>13300000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2-4B20-8E14-48352EEAC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703936"/>
        <c:axId val="347706016"/>
      </c:barChart>
      <c:catAx>
        <c:axId val="347703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#reified</a:t>
                </a:r>
                <a:r>
                  <a:rPr lang="fr-FR" baseline="0"/>
                  <a:t> nodes / #subgraph nodes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7706016"/>
        <c:crosses val="autoZero"/>
        <c:auto val="1"/>
        <c:lblAlgn val="ctr"/>
        <c:lblOffset val="100"/>
        <c:noMultiLvlLbl val="0"/>
      </c:catAx>
      <c:valAx>
        <c:axId val="34770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of added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770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12</xdr:row>
      <xdr:rowOff>45720</xdr:rowOff>
    </xdr:from>
    <xdr:to>
      <xdr:col>7</xdr:col>
      <xdr:colOff>563880</xdr:colOff>
      <xdr:row>27</xdr:row>
      <xdr:rowOff>137159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559B04-97E9-4EA7-9639-5C3C407C2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activeCell="F12" sqref="F12"/>
    </sheetView>
  </sheetViews>
  <sheetFormatPr baseColWidth="10" defaultColWidth="8.83984375" defaultRowHeight="14.4" x14ac:dyDescent="0.55000000000000004"/>
  <cols>
    <col min="1" max="1" width="18.578125" customWidth="1"/>
    <col min="2" max="2" width="36.26171875" customWidth="1"/>
    <col min="3" max="3" width="30.41796875" customWidth="1"/>
    <col min="4" max="4" width="19.578125" style="18" customWidth="1"/>
    <col min="5" max="5" width="16" customWidth="1"/>
    <col min="6" max="6" width="19.41796875" customWidth="1"/>
    <col min="7" max="7" width="21.15625" customWidth="1"/>
    <col min="8" max="8" width="12.578125" style="7" customWidth="1"/>
    <col min="9" max="9" width="16.41796875" customWidth="1"/>
    <col min="10" max="10" width="18.26171875" customWidth="1"/>
    <col min="11" max="11" width="18.578125" customWidth="1"/>
    <col min="12" max="12" width="13.83984375" customWidth="1"/>
    <col min="13" max="13" width="18" customWidth="1"/>
    <col min="14" max="14" width="19" customWidth="1"/>
    <col min="15" max="15" width="16.83984375" customWidth="1"/>
  </cols>
  <sheetData>
    <row r="1" spans="1:15" x14ac:dyDescent="0.55000000000000004">
      <c r="A1" s="1" t="s">
        <v>0</v>
      </c>
      <c r="B1" s="2" t="s">
        <v>9</v>
      </c>
      <c r="C1" s="5" t="s">
        <v>8</v>
      </c>
      <c r="D1" s="17" t="s">
        <v>10</v>
      </c>
      <c r="E1" s="12" t="s">
        <v>11</v>
      </c>
      <c r="F1" s="3" t="s">
        <v>12</v>
      </c>
      <c r="G1" s="5" t="s">
        <v>13</v>
      </c>
      <c r="H1" s="8" t="s">
        <v>14</v>
      </c>
      <c r="I1" s="2" t="s">
        <v>9</v>
      </c>
      <c r="J1" s="3" t="s">
        <v>8</v>
      </c>
      <c r="K1" s="3" t="s">
        <v>10</v>
      </c>
      <c r="L1" s="3" t="s">
        <v>11</v>
      </c>
      <c r="M1" s="3" t="s">
        <v>12</v>
      </c>
      <c r="N1" s="5" t="s">
        <v>13</v>
      </c>
      <c r="O1" s="10" t="s">
        <v>15</v>
      </c>
    </row>
    <row r="2" spans="1:15" x14ac:dyDescent="0.55000000000000004">
      <c r="A2" s="4" t="s">
        <v>16</v>
      </c>
      <c r="B2" s="4">
        <v>100000</v>
      </c>
      <c r="C2" s="6">
        <v>100000</v>
      </c>
      <c r="D2" s="18">
        <v>0</v>
      </c>
      <c r="E2" s="13">
        <v>200000</v>
      </c>
      <c r="F2" s="4">
        <v>200000</v>
      </c>
      <c r="G2" s="6">
        <v>100000</v>
      </c>
      <c r="H2" s="9">
        <v>700000</v>
      </c>
      <c r="I2" s="4">
        <f>12*B2</f>
        <v>1200000</v>
      </c>
      <c r="J2" s="4">
        <v>0</v>
      </c>
      <c r="K2" s="4">
        <v>0</v>
      </c>
      <c r="L2" s="4">
        <f>6*B2</f>
        <v>600000</v>
      </c>
      <c r="M2" s="4">
        <v>0</v>
      </c>
      <c r="N2" s="6">
        <v>100000</v>
      </c>
      <c r="O2" s="11">
        <f>I2+J2+K2+L2+M2+N2</f>
        <v>1900000</v>
      </c>
    </row>
    <row r="3" spans="1:15" x14ac:dyDescent="0.55000000000000004">
      <c r="A3" s="4" t="s">
        <v>1</v>
      </c>
      <c r="B3" s="4">
        <v>200000</v>
      </c>
      <c r="C3" s="6">
        <v>200000</v>
      </c>
      <c r="D3" s="18">
        <v>0</v>
      </c>
      <c r="E3" s="13">
        <v>400000</v>
      </c>
      <c r="F3" s="4">
        <v>400000</v>
      </c>
      <c r="G3" s="6">
        <v>200000</v>
      </c>
      <c r="H3" s="9">
        <v>1400000</v>
      </c>
      <c r="I3" s="4">
        <f t="shared" ref="I3:I9" si="0">12*B3</f>
        <v>2400000</v>
      </c>
      <c r="J3" s="4">
        <v>0</v>
      </c>
      <c r="K3" s="4">
        <v>0</v>
      </c>
      <c r="L3" s="4">
        <f t="shared" ref="L3:L9" si="1">6*B3</f>
        <v>1200000</v>
      </c>
      <c r="M3" s="4">
        <v>0</v>
      </c>
      <c r="N3" s="6">
        <v>200000</v>
      </c>
      <c r="O3" s="11">
        <f t="shared" ref="O3:O9" si="2">I3+J3+K3+L3+M3+N3</f>
        <v>3800000</v>
      </c>
    </row>
    <row r="4" spans="1:15" x14ac:dyDescent="0.55000000000000004">
      <c r="A4" s="4" t="s">
        <v>2</v>
      </c>
      <c r="B4" s="4">
        <v>300000</v>
      </c>
      <c r="C4" s="6">
        <v>300000</v>
      </c>
      <c r="D4" s="18">
        <v>0</v>
      </c>
      <c r="E4" s="13">
        <v>600000</v>
      </c>
      <c r="F4" s="4">
        <v>600000</v>
      </c>
      <c r="G4" s="6">
        <v>300000</v>
      </c>
      <c r="H4" s="9">
        <v>2200000</v>
      </c>
      <c r="I4" s="4">
        <f t="shared" si="0"/>
        <v>3600000</v>
      </c>
      <c r="J4" s="4">
        <v>0</v>
      </c>
      <c r="K4" s="4">
        <v>0</v>
      </c>
      <c r="L4" s="4">
        <f t="shared" si="1"/>
        <v>1800000</v>
      </c>
      <c r="M4" s="4">
        <v>0</v>
      </c>
      <c r="N4" s="6">
        <v>300000</v>
      </c>
      <c r="O4" s="11">
        <f t="shared" si="2"/>
        <v>5700000</v>
      </c>
    </row>
    <row r="5" spans="1:15" x14ac:dyDescent="0.55000000000000004">
      <c r="A5" s="4" t="s">
        <v>3</v>
      </c>
      <c r="B5" s="4">
        <v>400000</v>
      </c>
      <c r="C5" s="6">
        <v>400000</v>
      </c>
      <c r="D5" s="18">
        <v>0</v>
      </c>
      <c r="E5" s="13">
        <v>800000</v>
      </c>
      <c r="F5" s="4">
        <v>800000</v>
      </c>
      <c r="G5" s="6">
        <v>400000</v>
      </c>
      <c r="H5" s="9">
        <v>2800000</v>
      </c>
      <c r="I5" s="4">
        <f t="shared" si="0"/>
        <v>4800000</v>
      </c>
      <c r="J5" s="4">
        <v>0</v>
      </c>
      <c r="K5" s="4">
        <v>0</v>
      </c>
      <c r="L5" s="4">
        <f t="shared" si="1"/>
        <v>2400000</v>
      </c>
      <c r="M5" s="4">
        <v>0</v>
      </c>
      <c r="N5" s="6">
        <v>400000</v>
      </c>
      <c r="O5" s="11">
        <f t="shared" si="2"/>
        <v>7600000</v>
      </c>
    </row>
    <row r="6" spans="1:15" x14ac:dyDescent="0.55000000000000004">
      <c r="A6" s="4" t="s">
        <v>4</v>
      </c>
      <c r="B6" s="4">
        <v>500000</v>
      </c>
      <c r="C6" s="6">
        <v>500000</v>
      </c>
      <c r="D6" s="18">
        <v>0</v>
      </c>
      <c r="E6" s="13">
        <v>1000000</v>
      </c>
      <c r="F6" s="4">
        <v>1000000</v>
      </c>
      <c r="G6" s="6">
        <v>500000</v>
      </c>
      <c r="H6" s="9">
        <v>3500000</v>
      </c>
      <c r="I6" s="4">
        <f t="shared" si="0"/>
        <v>6000000</v>
      </c>
      <c r="J6" s="4">
        <v>0</v>
      </c>
      <c r="K6" s="4">
        <v>0</v>
      </c>
      <c r="L6" s="4">
        <f t="shared" si="1"/>
        <v>3000000</v>
      </c>
      <c r="M6" s="4">
        <v>0</v>
      </c>
      <c r="N6" s="6">
        <v>500000</v>
      </c>
      <c r="O6" s="11">
        <f t="shared" si="2"/>
        <v>9500000</v>
      </c>
    </row>
    <row r="7" spans="1:15" x14ac:dyDescent="0.55000000000000004">
      <c r="A7" s="4" t="s">
        <v>5</v>
      </c>
      <c r="B7" s="4">
        <v>600000</v>
      </c>
      <c r="C7" s="6">
        <v>600000</v>
      </c>
      <c r="D7" s="18">
        <v>0</v>
      </c>
      <c r="E7" s="13">
        <v>1200000</v>
      </c>
      <c r="F7" s="4">
        <v>1200000</v>
      </c>
      <c r="G7" s="6">
        <v>600000</v>
      </c>
      <c r="H7" s="9">
        <v>4200000</v>
      </c>
      <c r="I7" s="4">
        <f t="shared" si="0"/>
        <v>7200000</v>
      </c>
      <c r="J7" s="4">
        <v>0</v>
      </c>
      <c r="K7" s="4">
        <v>0</v>
      </c>
      <c r="L7" s="4">
        <f t="shared" si="1"/>
        <v>3600000</v>
      </c>
      <c r="M7" s="4">
        <v>0</v>
      </c>
      <c r="N7" s="6">
        <v>600000</v>
      </c>
      <c r="O7" s="11">
        <f t="shared" si="2"/>
        <v>11400000</v>
      </c>
    </row>
    <row r="8" spans="1:15" x14ac:dyDescent="0.55000000000000004">
      <c r="A8" s="4" t="s">
        <v>6</v>
      </c>
      <c r="B8" s="4">
        <v>700000</v>
      </c>
      <c r="C8" s="6">
        <v>700000</v>
      </c>
      <c r="D8" s="18">
        <v>0</v>
      </c>
      <c r="E8" s="13">
        <v>1400000</v>
      </c>
      <c r="F8" s="4">
        <v>1400000</v>
      </c>
      <c r="G8" s="6">
        <v>700000</v>
      </c>
      <c r="H8" s="9">
        <v>4900000</v>
      </c>
      <c r="I8" s="4">
        <f t="shared" si="0"/>
        <v>8400000</v>
      </c>
      <c r="J8" s="4">
        <v>0</v>
      </c>
      <c r="K8" s="4">
        <v>0</v>
      </c>
      <c r="L8" s="4">
        <f t="shared" si="1"/>
        <v>4200000</v>
      </c>
      <c r="M8" s="4">
        <v>0</v>
      </c>
      <c r="N8" s="6">
        <v>700000</v>
      </c>
      <c r="O8" s="11">
        <f t="shared" si="2"/>
        <v>13300000</v>
      </c>
    </row>
    <row r="9" spans="1:15" x14ac:dyDescent="0.55000000000000004">
      <c r="A9" s="4" t="s">
        <v>7</v>
      </c>
      <c r="B9" s="4">
        <v>741000</v>
      </c>
      <c r="C9" s="6">
        <v>741000</v>
      </c>
      <c r="D9" s="18">
        <v>0</v>
      </c>
      <c r="E9" s="13">
        <v>1482000</v>
      </c>
      <c r="F9" s="4">
        <v>1482000</v>
      </c>
      <c r="G9" s="6">
        <v>741000</v>
      </c>
      <c r="H9" s="9">
        <v>5187000</v>
      </c>
      <c r="I9" s="4">
        <f t="shared" si="0"/>
        <v>8892000</v>
      </c>
      <c r="J9" s="4">
        <v>0</v>
      </c>
      <c r="K9" s="4">
        <v>0</v>
      </c>
      <c r="L9" s="4">
        <f t="shared" si="1"/>
        <v>4446000</v>
      </c>
      <c r="M9" s="4">
        <v>0</v>
      </c>
      <c r="N9" s="6">
        <v>741000</v>
      </c>
      <c r="O9" s="11">
        <f t="shared" si="2"/>
        <v>14079000</v>
      </c>
    </row>
    <row r="12" spans="1:15" ht="195.6" customHeight="1" x14ac:dyDescent="0.55000000000000004">
      <c r="A12" s="21" t="s">
        <v>39</v>
      </c>
      <c r="B12" s="21"/>
      <c r="C12" s="21"/>
      <c r="D12" s="22"/>
    </row>
    <row r="14" spans="1:15" x14ac:dyDescent="0.55000000000000004">
      <c r="A14" s="1" t="s">
        <v>0</v>
      </c>
      <c r="B14" s="8" t="s">
        <v>37</v>
      </c>
      <c r="C14" s="14" t="s">
        <v>38</v>
      </c>
    </row>
    <row r="15" spans="1:15" x14ac:dyDescent="0.55000000000000004">
      <c r="A15" s="4" t="s">
        <v>16</v>
      </c>
      <c r="B15" s="9">
        <v>700000</v>
      </c>
      <c r="C15" s="15">
        <v>1900000</v>
      </c>
    </row>
    <row r="16" spans="1:15" x14ac:dyDescent="0.55000000000000004">
      <c r="A16" s="4" t="s">
        <v>1</v>
      </c>
      <c r="B16" s="9">
        <v>1400000</v>
      </c>
      <c r="C16" s="15">
        <v>3800000</v>
      </c>
    </row>
    <row r="17" spans="1:4" x14ac:dyDescent="0.55000000000000004">
      <c r="A17" s="4" t="s">
        <v>2</v>
      </c>
      <c r="B17" s="9">
        <v>2200000</v>
      </c>
      <c r="C17" s="15">
        <v>5700000</v>
      </c>
    </row>
    <row r="18" spans="1:4" x14ac:dyDescent="0.55000000000000004">
      <c r="A18" s="4" t="s">
        <v>3</v>
      </c>
      <c r="B18" s="9">
        <v>2800000</v>
      </c>
      <c r="C18" s="15">
        <v>7600000</v>
      </c>
    </row>
    <row r="19" spans="1:4" x14ac:dyDescent="0.55000000000000004">
      <c r="A19" s="4" t="s">
        <v>4</v>
      </c>
      <c r="B19" s="9">
        <v>3500000</v>
      </c>
      <c r="C19" s="15">
        <v>9500000</v>
      </c>
    </row>
    <row r="20" spans="1:4" x14ac:dyDescent="0.55000000000000004">
      <c r="A20" s="4" t="s">
        <v>5</v>
      </c>
      <c r="B20" s="9">
        <v>4200000</v>
      </c>
      <c r="C20" s="15">
        <v>11400000</v>
      </c>
    </row>
    <row r="21" spans="1:4" x14ac:dyDescent="0.55000000000000004">
      <c r="A21" s="4" t="s">
        <v>6</v>
      </c>
      <c r="B21" s="9">
        <v>4900000</v>
      </c>
      <c r="C21" s="15">
        <v>13300000</v>
      </c>
    </row>
    <row r="22" spans="1:4" x14ac:dyDescent="0.55000000000000004">
      <c r="A22" s="4"/>
      <c r="B22" s="9"/>
      <c r="C22" s="15"/>
    </row>
    <row r="31" spans="1:4" x14ac:dyDescent="0.55000000000000004">
      <c r="A31" s="4"/>
      <c r="B31" s="3" t="s">
        <v>23</v>
      </c>
      <c r="C31" s="3" t="s">
        <v>24</v>
      </c>
      <c r="D31" s="19"/>
    </row>
    <row r="32" spans="1:4" ht="28.8" x14ac:dyDescent="0.55000000000000004">
      <c r="A32" s="3" t="s">
        <v>17</v>
      </c>
      <c r="B32" s="16" t="s">
        <v>25</v>
      </c>
      <c r="C32" s="20" t="s">
        <v>31</v>
      </c>
      <c r="D32" s="19"/>
    </row>
    <row r="33" spans="1:4" x14ac:dyDescent="0.55000000000000004">
      <c r="A33" s="3" t="s">
        <v>19</v>
      </c>
      <c r="B33" s="16" t="s">
        <v>26</v>
      </c>
      <c r="C33" s="20" t="s">
        <v>32</v>
      </c>
      <c r="D33" s="19"/>
    </row>
    <row r="34" spans="1:4" x14ac:dyDescent="0.55000000000000004">
      <c r="A34" s="3" t="s">
        <v>18</v>
      </c>
      <c r="B34" s="16" t="s">
        <v>27</v>
      </c>
      <c r="C34" s="4" t="s">
        <v>33</v>
      </c>
      <c r="D34" s="19"/>
    </row>
    <row r="35" spans="1:4" ht="57.6" x14ac:dyDescent="0.55000000000000004">
      <c r="A35" s="3" t="s">
        <v>20</v>
      </c>
      <c r="B35" s="16" t="s">
        <v>28</v>
      </c>
      <c r="C35" s="20" t="s">
        <v>34</v>
      </c>
      <c r="D35" s="19"/>
    </row>
    <row r="36" spans="1:4" x14ac:dyDescent="0.55000000000000004">
      <c r="A36" s="3" t="s">
        <v>21</v>
      </c>
      <c r="B36" s="16" t="s">
        <v>29</v>
      </c>
      <c r="C36" s="4" t="s">
        <v>35</v>
      </c>
      <c r="D36" s="19"/>
    </row>
    <row r="37" spans="1:4" x14ac:dyDescent="0.55000000000000004">
      <c r="A37" s="3" t="s">
        <v>22</v>
      </c>
      <c r="B37" s="16" t="s">
        <v>30</v>
      </c>
      <c r="C37" s="4" t="s">
        <v>36</v>
      </c>
      <c r="D37" s="19"/>
    </row>
  </sheetData>
  <mergeCells count="1">
    <mergeCell ref="A12:D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2025-07-14T16:58:46Z</dcterms:created>
  <dcterms:modified xsi:type="dcterms:W3CDTF">2025-10-13T13:46:42Z</dcterms:modified>
</cp:coreProperties>
</file>